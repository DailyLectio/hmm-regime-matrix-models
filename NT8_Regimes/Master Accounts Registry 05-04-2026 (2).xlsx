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<sst xmlns="http://schemas.openxmlformats.org/spreadsheetml/2006/main" count="371" uniqueCount="213">
  <si>
    <t>Chart Location</t>
  </si>
  <si>
    <t>Tab</t>
  </si>
  <si>
    <t>Tab Name</t>
  </si>
  <si>
    <t>Chart</t>
  </si>
  <si>
    <t>Strategy</t>
  </si>
  <si>
    <t>bot name</t>
  </si>
  <si>
    <t>Account</t>
  </si>
  <si>
    <t>Time</t>
  </si>
  <si>
    <t>Template Name</t>
  </si>
  <si>
    <t>V1 OG</t>
  </si>
  <si>
    <t>Momo 1m</t>
  </si>
  <si>
    <t>NQ</t>
  </si>
  <si>
    <t>1m HA</t>
  </si>
  <si>
    <t>MomentumSlopeStrategyv1.2</t>
  </si>
  <si>
    <t>NA</t>
  </si>
  <si>
    <t>Momo1</t>
  </si>
  <si>
    <t>RTH</t>
  </si>
  <si>
    <t>NQ Momo OG 1m HA 20</t>
  </si>
  <si>
    <t>5-7 changed DAX gate to 20 ; too many trades on 18</t>
  </si>
  <si>
    <t>Momo 5m</t>
  </si>
  <si>
    <t>5 min candle</t>
  </si>
  <si>
    <t>Momo2</t>
  </si>
  <si>
    <t>NQ.5m.Momov1.2.RTH_5m_21</t>
  </si>
  <si>
    <t>5-7 changed DAX gate to 20 ; too many trades on 19</t>
  </si>
  <si>
    <t>ADX 5m</t>
  </si>
  <si>
    <t>AdxDiCrossBracketOG</t>
  </si>
  <si>
    <t>ADX1</t>
  </si>
  <si>
    <t>AdxDiCrossBracketOG 5m Trinity false</t>
  </si>
  <si>
    <t>ADX 5m true</t>
  </si>
  <si>
    <t>ADX2</t>
  </si>
  <si>
    <t>AdxDiCrossBracketOG 5m Trinity true</t>
  </si>
  <si>
    <t>Pine 5m</t>
  </si>
  <si>
    <t>ADX4</t>
  </si>
  <si>
    <t>AdxDiCrossStrategy_PineTrail</t>
  </si>
  <si>
    <t>See possible duplicate at SimV3C-NQ-5A and 5B V3C</t>
  </si>
  <si>
    <t>Far Left 1</t>
  </si>
  <si>
    <t>15 Range Momentum Range</t>
  </si>
  <si>
    <t>15 Range VOL</t>
  </si>
  <si>
    <t>MomentumRange_RangeBar</t>
  </si>
  <si>
    <t>Sim1</t>
  </si>
  <si>
    <t>V1A</t>
  </si>
  <si>
    <t>Left 2</t>
  </si>
  <si>
    <t>VOL FADER Mode A- Pure V1A</t>
  </si>
  <si>
    <t>3 min candle</t>
  </si>
  <si>
    <t>VolState Fader</t>
  </si>
  <si>
    <t>SimV1A Vol Fader 1</t>
  </si>
  <si>
    <t>VolState Fader V1B Mode A(Pure V1A)</t>
  </si>
  <si>
    <t>VOL FADER Mode A+(Context)</t>
  </si>
  <si>
    <t>SimV1A Vol Fader 2</t>
  </si>
  <si>
    <t>V1B - Mode A+(Context)</t>
  </si>
  <si>
    <t>VolState Mode B(Full V1B)</t>
  </si>
  <si>
    <t>SimV1A Vol Fader 3</t>
  </si>
  <si>
    <t>Mode B(Full V1B) all true</t>
  </si>
  <si>
    <t>Middle 3</t>
  </si>
  <si>
    <t>Kalman Fader Mode A</t>
  </si>
  <si>
    <t>1 min candle</t>
  </si>
  <si>
    <t>KalmanPulse_Fader_V2</t>
  </si>
  <si>
    <t>SimV1A Kalman Fader 1</t>
  </si>
  <si>
    <t>ETH</t>
  </si>
  <si>
    <t>KalmanPulse Fader 1  A</t>
  </si>
  <si>
    <t>5-6 changed to NQ 1 min</t>
  </si>
  <si>
    <t>Kalman Fade Mode A+</t>
  </si>
  <si>
    <t>KalmanPulse_Fader V1B</t>
  </si>
  <si>
    <t>SimV1A Kalman Fader 2</t>
  </si>
  <si>
    <t>Mode A+ kill switch &amp; bias true</t>
  </si>
  <si>
    <t>5-6 changed to NQ 3 min</t>
  </si>
  <si>
    <t>Kalman Fade Mode B</t>
  </si>
  <si>
    <t>KalmanPulse_Fader</t>
  </si>
  <si>
    <t>SimV1A Kalman Fader 3</t>
  </si>
  <si>
    <t xml:space="preserve">Mode B footprint +kill switch + bias = true </t>
  </si>
  <si>
    <t>Right 4</t>
  </si>
  <si>
    <t>Composite Momo Mode A</t>
  </si>
  <si>
    <t xml:space="preserve">CompositeEdge_Momentum </t>
  </si>
  <si>
    <t>SimV1A Composite Momentum 1</t>
  </si>
  <si>
    <t>Mode A all false</t>
  </si>
  <si>
    <t>Composite Momo Mode A+</t>
  </si>
  <si>
    <t>CompositeEdge_Momentum (B?)</t>
  </si>
  <si>
    <t>SimV1A Composite Momentum 2</t>
  </si>
  <si>
    <t>Mode A+ kill + bias = true</t>
  </si>
  <si>
    <t>Composite Momo Mode B</t>
  </si>
  <si>
    <t>SimV1A Composite Momentum 3</t>
  </si>
  <si>
    <t>Mode B all = true</t>
  </si>
  <si>
    <t>V3C</t>
  </si>
  <si>
    <t>Bot left</t>
  </si>
  <si>
    <t xml:space="preserve">Expansion V1A </t>
  </si>
  <si>
    <t>Uni 40-80-120</t>
  </si>
  <si>
    <t>V3_Expansion_Rider_V3C</t>
  </si>
  <si>
    <t>SimV3C-NQ-1A</t>
  </si>
  <si>
    <t>NQ Fast 40-80-120</t>
  </si>
  <si>
    <t>Expansion B 60</t>
  </si>
  <si>
    <t>Uni 60-120-180</t>
  </si>
  <si>
    <t>SimV3C-NQ-1B</t>
  </si>
  <si>
    <t>NQ Clean 60-120-180</t>
  </si>
  <si>
    <t>Expansion 1C 3.0ATR</t>
  </si>
  <si>
    <t>Uni 60-120-181</t>
  </si>
  <si>
    <t>SimV3C-NQ-1C</t>
  </si>
  <si>
    <t>NQ Clean 60-120-181</t>
  </si>
  <si>
    <t>5-7 wider targets</t>
  </si>
  <si>
    <t>Top Middle</t>
  </si>
  <si>
    <t>Compression Fast  A</t>
  </si>
  <si>
    <t>Uni 20-40-60</t>
  </si>
  <si>
    <t xml:space="preserve">NQ VC3-A Compression Fast </t>
  </si>
  <si>
    <t>SimV3C-NQ-2A</t>
  </si>
  <si>
    <t>NQ VC3-A Compression Fast 20-40-60</t>
  </si>
  <si>
    <t>Compression Clean B</t>
  </si>
  <si>
    <t>Uni 24-48-72</t>
  </si>
  <si>
    <t>NQ V3C Compression Clean B</t>
  </si>
  <si>
    <t>SimV3C-NQ-2B</t>
  </si>
  <si>
    <t>5-6 changed to NQ  24-48-72</t>
  </si>
  <si>
    <t>Compression Sniper C 40-80-120</t>
  </si>
  <si>
    <t>V3_Compression_Sniper_V3C</t>
  </si>
  <si>
    <t>SimV3C-NQ-2C</t>
  </si>
  <si>
    <t>NQ V3C Compression Sniper C 20-40-60</t>
  </si>
  <si>
    <t>Compression Sniper D 3m</t>
  </si>
  <si>
    <t>SimV3C-NQ-2D</t>
  </si>
  <si>
    <t>NQ V3C Compression D 3min</t>
  </si>
  <si>
    <t>Top Right</t>
  </si>
  <si>
    <t>Value Fader A</t>
  </si>
  <si>
    <t>V3_Value_Fader</t>
  </si>
  <si>
    <t>SimV3C-NQ-3A</t>
  </si>
  <si>
    <t>Value Fader A 5m</t>
  </si>
  <si>
    <t>Value Fader B</t>
  </si>
  <si>
    <t>V3_Value_Fader_V3C 3m</t>
  </si>
  <si>
    <t>SimV3C-NQ-3B</t>
  </si>
  <si>
    <t>Value Fader B 3m</t>
  </si>
  <si>
    <t>Bottom Left</t>
  </si>
  <si>
    <t>Momentum Slope A</t>
  </si>
  <si>
    <t>Momo_V3C A</t>
  </si>
  <si>
    <t>SimV3C-NQ-4A</t>
  </si>
  <si>
    <t>Momo V3C 5m Hysteresis</t>
  </si>
  <si>
    <t>Momentum Slope B</t>
  </si>
  <si>
    <t>Momo_V3C</t>
  </si>
  <si>
    <t>SimV3C-NQ-4B</t>
  </si>
  <si>
    <t>Momo V3C 5m Simple</t>
  </si>
  <si>
    <t>Bottom Middle</t>
  </si>
  <si>
    <t>Momo 1mHA OG</t>
  </si>
  <si>
    <t>1 min Heiken Ashi</t>
  </si>
  <si>
    <t>MomentumSlopeStrategy v1.2</t>
  </si>
  <si>
    <t>SimMomo1</t>
  </si>
  <si>
    <t>--- Momentum OG 1m HEIKEN ASHI</t>
  </si>
  <si>
    <t>Momo 5mHA OG</t>
  </si>
  <si>
    <t>5 min Heiken Ashi</t>
  </si>
  <si>
    <t>MomentumSlopeStrategy v1.3</t>
  </si>
  <si>
    <t>SimMomo2</t>
  </si>
  <si>
    <t>NQ.5m.Momov1.2.RTHV1001</t>
  </si>
  <si>
    <t>Bottom Right</t>
  </si>
  <si>
    <t>ADX 5m Trinity OFF</t>
  </si>
  <si>
    <t>ADX_DI_V3C</t>
  </si>
  <si>
    <t>SimV3C-NQ-5A</t>
  </si>
  <si>
    <t>NQ.ADX.DI.5m.V3C - 5A</t>
  </si>
  <si>
    <t>ADX 5m Trinity ON</t>
  </si>
  <si>
    <t>SimV3C-NQ-5B</t>
  </si>
  <si>
    <t>NQ.ADX.DI.5m.V3C - 5B Trinitiy ON</t>
  </si>
  <si>
    <t>V3D</t>
  </si>
  <si>
    <t>Top 1</t>
  </si>
  <si>
    <t>Expansion A</t>
  </si>
  <si>
    <t>Expansion_V3D</t>
  </si>
  <si>
    <t>SimV3D-NQ-1A</t>
  </si>
  <si>
    <t>Expansion A - ES</t>
  </si>
  <si>
    <t>ES</t>
  </si>
  <si>
    <t>Uni 22-44-66</t>
  </si>
  <si>
    <t>SimV3D-ES-1A</t>
  </si>
  <si>
    <t>Expansion_V3D ES</t>
  </si>
  <si>
    <t>Top 2</t>
  </si>
  <si>
    <t>Momentum A</t>
  </si>
  <si>
    <t>Momentum_V3D</t>
  </si>
  <si>
    <t>SimV3D-NQ-2A</t>
  </si>
  <si>
    <t>Top 3</t>
  </si>
  <si>
    <t>Fader A</t>
  </si>
  <si>
    <t>Fader_V3D</t>
  </si>
  <si>
    <t>SimV3D-NQ-3A</t>
  </si>
  <si>
    <t>Fader_V3D A</t>
  </si>
  <si>
    <t>Fader A - ES</t>
  </si>
  <si>
    <t>2 min candle</t>
  </si>
  <si>
    <t>SimV3D-ES-3A</t>
  </si>
  <si>
    <t>Fader_V3D A ES</t>
  </si>
  <si>
    <t>Top 4</t>
  </si>
  <si>
    <t>Sniper Pullbacks A</t>
  </si>
  <si>
    <t>Sniper_V3D</t>
  </si>
  <si>
    <t>SimV3D-NQ-4A</t>
  </si>
  <si>
    <t>Sniper_V3D 3m</t>
  </si>
  <si>
    <t>Sniper Pullbacks A- ES</t>
  </si>
  <si>
    <t>SimV3D-ES-4A</t>
  </si>
  <si>
    <t>Sniper_V3D ES</t>
  </si>
  <si>
    <t>Top 5</t>
  </si>
  <si>
    <t>ADX DI A</t>
  </si>
  <si>
    <t>ADX_DI_V3D</t>
  </si>
  <si>
    <t>SimV3D-NQ-5A</t>
  </si>
  <si>
    <t>Bottom 1</t>
  </si>
  <si>
    <t>Expansion B</t>
  </si>
  <si>
    <t>Expansion_V3D_B</t>
  </si>
  <si>
    <t>SimV3D-NQ-1B</t>
  </si>
  <si>
    <t>Bottom 2</t>
  </si>
  <si>
    <t>Momentum B</t>
  </si>
  <si>
    <t>Momentum_V3D_B</t>
  </si>
  <si>
    <t>SimV3D-NQ-2B</t>
  </si>
  <si>
    <t>Bottom 3</t>
  </si>
  <si>
    <t>Fader B</t>
  </si>
  <si>
    <t>Fader_V3D_B</t>
  </si>
  <si>
    <t>SimV3D-NQ-3B</t>
  </si>
  <si>
    <t>Bottom 4</t>
  </si>
  <si>
    <t>Sniper Pullbacks B</t>
  </si>
  <si>
    <t>Sniper_V3D_B</t>
  </si>
  <si>
    <t>SimV3D-NQ-4B</t>
  </si>
  <si>
    <t>Bottom 5</t>
  </si>
  <si>
    <t>ADX DI B</t>
  </si>
  <si>
    <t>Uni 30-60-90</t>
  </si>
  <si>
    <t>SimV3D-NQ-5B</t>
  </si>
  <si>
    <t>ADX_DI_V3D Uni</t>
  </si>
  <si>
    <t>Bottom 6</t>
  </si>
  <si>
    <t>ADX DI C</t>
  </si>
  <si>
    <t>ADX_DI_V3D_C</t>
  </si>
  <si>
    <t>SimV3D-NQ-5C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</si>
</sst>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47</xdr:row>
      <xdr:rowOff>200025</xdr:rowOff>
    </xdr:from>
    <xdr:ext cx="14573250" cy="7229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63"/>
    <col customWidth="1" min="4" max="4" width="24.88"/>
    <col customWidth="1" min="5" max="5" width="8.5"/>
    <col customWidth="1" min="6" max="6" width="14.38"/>
    <col customWidth="1" min="7" max="7" width="25.75"/>
    <col customWidth="1" min="8" max="8" width="13.5"/>
    <col customWidth="1" min="9" max="9" width="25.63"/>
    <col customWidth="1" min="10" max="10" width="7.13"/>
    <col customWidth="1" min="11" max="11" width="5.63"/>
    <col customWidth="1" min="12" max="12" width="4.75"/>
    <col customWidth="1" min="13" max="13" width="33.13"/>
  </cols>
  <sheetData>
    <row r="1">
      <c r="B1" s="1" t="s">
        <v>0</v>
      </c>
      <c r="C1" s="1" t="s">
        <v>1</v>
      </c>
      <c r="D1" s="1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  <c r="J1" s="1"/>
      <c r="K1" s="1"/>
      <c r="L1" s="1" t="s">
        <v>7</v>
      </c>
      <c r="M1" s="1" t="s">
        <v>8</v>
      </c>
    </row>
    <row r="2">
      <c r="A2" s="1" t="s">
        <v>9</v>
      </c>
      <c r="B2" s="1">
        <v>1.0</v>
      </c>
      <c r="C2" s="1">
        <v>1.0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>
        <v>935.0</v>
      </c>
      <c r="L2" s="1">
        <v>1545.0</v>
      </c>
      <c r="M2" s="1" t="s">
        <v>17</v>
      </c>
      <c r="N2" s="1" t="s">
        <v>18</v>
      </c>
    </row>
    <row r="3">
      <c r="B3" s="1">
        <v>2.0</v>
      </c>
      <c r="C3" s="1">
        <v>1.0</v>
      </c>
      <c r="D3" s="1" t="s">
        <v>19</v>
      </c>
      <c r="E3" s="1" t="s">
        <v>11</v>
      </c>
      <c r="F3" s="1" t="s">
        <v>20</v>
      </c>
      <c r="G3" s="1" t="s">
        <v>13</v>
      </c>
      <c r="H3" s="1" t="s">
        <v>14</v>
      </c>
      <c r="I3" s="1" t="s">
        <v>21</v>
      </c>
      <c r="J3" s="1" t="s">
        <v>16</v>
      </c>
      <c r="K3" s="1">
        <v>935.0</v>
      </c>
      <c r="L3" s="1">
        <v>1545.0</v>
      </c>
      <c r="M3" s="1" t="s">
        <v>22</v>
      </c>
      <c r="N3" s="1" t="s">
        <v>23</v>
      </c>
    </row>
    <row r="4">
      <c r="B4" s="1">
        <v>3.0</v>
      </c>
      <c r="C4" s="1">
        <v>1.0</v>
      </c>
      <c r="D4" s="1" t="s">
        <v>24</v>
      </c>
      <c r="E4" s="1" t="s">
        <v>11</v>
      </c>
      <c r="F4" s="1" t="s">
        <v>20</v>
      </c>
      <c r="G4" s="1" t="s">
        <v>25</v>
      </c>
      <c r="H4" s="1" t="s">
        <v>14</v>
      </c>
      <c r="I4" s="1" t="s">
        <v>26</v>
      </c>
      <c r="J4" s="1" t="s">
        <v>16</v>
      </c>
      <c r="K4" s="1">
        <v>935.0</v>
      </c>
      <c r="L4" s="1">
        <v>1545.0</v>
      </c>
      <c r="M4" s="1" t="s">
        <v>27</v>
      </c>
    </row>
    <row r="5">
      <c r="B5" s="1">
        <v>4.0</v>
      </c>
      <c r="C5" s="1">
        <v>1.0</v>
      </c>
      <c r="D5" s="1" t="s">
        <v>28</v>
      </c>
      <c r="E5" s="1" t="s">
        <v>11</v>
      </c>
      <c r="F5" s="1" t="s">
        <v>20</v>
      </c>
      <c r="G5" s="1" t="s">
        <v>25</v>
      </c>
      <c r="H5" s="1" t="s">
        <v>14</v>
      </c>
      <c r="I5" s="1" t="s">
        <v>29</v>
      </c>
      <c r="J5" s="1" t="s">
        <v>16</v>
      </c>
      <c r="K5" s="1">
        <v>935.0</v>
      </c>
      <c r="L5" s="1">
        <v>1545.0</v>
      </c>
      <c r="M5" s="1" t="s">
        <v>30</v>
      </c>
    </row>
    <row r="6">
      <c r="B6" s="1">
        <v>5.0</v>
      </c>
      <c r="C6" s="1">
        <v>1.0</v>
      </c>
      <c r="D6" s="1" t="s">
        <v>31</v>
      </c>
      <c r="E6" s="1" t="s">
        <v>11</v>
      </c>
      <c r="F6" s="1" t="s">
        <v>20</v>
      </c>
      <c r="G6" s="1" t="s">
        <v>25</v>
      </c>
      <c r="H6" s="1" t="s">
        <v>14</v>
      </c>
      <c r="I6" s="1" t="s">
        <v>32</v>
      </c>
      <c r="J6" s="1" t="s">
        <v>16</v>
      </c>
      <c r="K6" s="1">
        <v>935.0</v>
      </c>
      <c r="L6" s="1">
        <v>1545.0</v>
      </c>
      <c r="M6" s="1" t="s">
        <v>33</v>
      </c>
      <c r="N6" s="1" t="s">
        <v>34</v>
      </c>
    </row>
    <row r="7">
      <c r="A7" s="2"/>
      <c r="B7" s="3" t="s">
        <v>35</v>
      </c>
      <c r="C7" s="3">
        <v>1.0</v>
      </c>
      <c r="D7" s="3" t="s">
        <v>36</v>
      </c>
      <c r="E7" s="3" t="s">
        <v>11</v>
      </c>
      <c r="F7" s="3" t="s">
        <v>37</v>
      </c>
      <c r="G7" s="3" t="s">
        <v>38</v>
      </c>
      <c r="H7" s="3"/>
      <c r="I7" s="3" t="s">
        <v>39</v>
      </c>
      <c r="J7" s="3" t="s">
        <v>16</v>
      </c>
      <c r="K7" s="3">
        <v>935.0</v>
      </c>
      <c r="L7" s="3">
        <v>1545.0</v>
      </c>
      <c r="M7" s="3" t="s">
        <v>38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>
      <c r="A8" s="1" t="s">
        <v>40</v>
      </c>
      <c r="B8" s="1" t="s">
        <v>41</v>
      </c>
      <c r="C8" s="1">
        <v>1.0</v>
      </c>
      <c r="D8" s="1" t="s">
        <v>42</v>
      </c>
      <c r="E8" s="1" t="s">
        <v>11</v>
      </c>
      <c r="F8" s="1" t="s">
        <v>43</v>
      </c>
      <c r="G8" s="1" t="s">
        <v>44</v>
      </c>
      <c r="H8" s="1"/>
      <c r="I8" s="1" t="s">
        <v>45</v>
      </c>
      <c r="J8" s="1" t="s">
        <v>16</v>
      </c>
      <c r="K8" s="1">
        <v>1035.0</v>
      </c>
      <c r="L8" s="1">
        <v>1545.0</v>
      </c>
      <c r="M8" s="1" t="s">
        <v>46</v>
      </c>
    </row>
    <row r="9">
      <c r="B9" s="1" t="s">
        <v>41</v>
      </c>
      <c r="C9" s="1">
        <v>2.0</v>
      </c>
      <c r="D9" s="1" t="s">
        <v>47</v>
      </c>
      <c r="E9" s="1" t="s">
        <v>11</v>
      </c>
      <c r="F9" s="1" t="s">
        <v>43</v>
      </c>
      <c r="G9" s="1" t="s">
        <v>44</v>
      </c>
      <c r="H9" s="1"/>
      <c r="I9" s="1" t="s">
        <v>48</v>
      </c>
      <c r="J9" s="1" t="s">
        <v>16</v>
      </c>
      <c r="K9" s="1">
        <v>1035.0</v>
      </c>
      <c r="L9" s="1">
        <v>1545.0</v>
      </c>
      <c r="M9" s="1" t="s">
        <v>49</v>
      </c>
    </row>
    <row r="10">
      <c r="B10" s="1" t="s">
        <v>41</v>
      </c>
      <c r="C10" s="1">
        <v>3.0</v>
      </c>
      <c r="D10" s="1" t="s">
        <v>50</v>
      </c>
      <c r="E10" s="1" t="s">
        <v>11</v>
      </c>
      <c r="F10" s="1" t="s">
        <v>43</v>
      </c>
      <c r="G10" s="1" t="s">
        <v>44</v>
      </c>
      <c r="H10" s="1"/>
      <c r="I10" s="1" t="s">
        <v>51</v>
      </c>
      <c r="J10" s="1" t="s">
        <v>16</v>
      </c>
      <c r="K10" s="1">
        <v>1035.0</v>
      </c>
      <c r="L10" s="1">
        <v>1545.0</v>
      </c>
      <c r="M10" s="1" t="s">
        <v>52</v>
      </c>
    </row>
    <row r="11">
      <c r="B11" s="1" t="s">
        <v>53</v>
      </c>
      <c r="C11" s="1">
        <v>1.0</v>
      </c>
      <c r="D11" s="1" t="s">
        <v>54</v>
      </c>
      <c r="E11" s="1" t="s">
        <v>11</v>
      </c>
      <c r="F11" s="1" t="s">
        <v>55</v>
      </c>
      <c r="G11" s="1" t="s">
        <v>56</v>
      </c>
      <c r="H11" s="1"/>
      <c r="I11" s="1" t="s">
        <v>57</v>
      </c>
      <c r="J11" s="1" t="s">
        <v>58</v>
      </c>
      <c r="K11" s="1">
        <v>1035.0</v>
      </c>
      <c r="L11" s="1">
        <v>1545.0</v>
      </c>
      <c r="M11" s="1" t="s">
        <v>59</v>
      </c>
      <c r="N11" s="1" t="s">
        <v>60</v>
      </c>
    </row>
    <row r="12">
      <c r="B12" s="1" t="s">
        <v>53</v>
      </c>
      <c r="C12" s="1">
        <v>1.0</v>
      </c>
      <c r="D12" s="1" t="s">
        <v>61</v>
      </c>
      <c r="E12" s="1" t="s">
        <v>11</v>
      </c>
      <c r="F12" s="1" t="s">
        <v>43</v>
      </c>
      <c r="G12" s="1" t="s">
        <v>62</v>
      </c>
      <c r="H12" s="1"/>
      <c r="I12" s="1" t="s">
        <v>63</v>
      </c>
      <c r="J12" s="1" t="s">
        <v>58</v>
      </c>
      <c r="K12" s="1">
        <v>1035.0</v>
      </c>
      <c r="L12" s="1">
        <v>1545.0</v>
      </c>
      <c r="M12" s="1" t="s">
        <v>64</v>
      </c>
      <c r="N12" s="1" t="s">
        <v>65</v>
      </c>
    </row>
    <row r="13">
      <c r="B13" s="1" t="s">
        <v>53</v>
      </c>
      <c r="C13" s="1">
        <v>1.0</v>
      </c>
      <c r="D13" s="1" t="s">
        <v>66</v>
      </c>
      <c r="E13" s="1" t="s">
        <v>11</v>
      </c>
      <c r="F13" s="1" t="s">
        <v>55</v>
      </c>
      <c r="G13" s="1" t="s">
        <v>67</v>
      </c>
      <c r="H13" s="1"/>
      <c r="I13" s="1" t="s">
        <v>68</v>
      </c>
      <c r="J13" s="1" t="s">
        <v>58</v>
      </c>
      <c r="K13" s="1">
        <v>1035.0</v>
      </c>
      <c r="L13" s="1">
        <v>1545.0</v>
      </c>
      <c r="M13" s="1" t="s">
        <v>69</v>
      </c>
      <c r="N13" s="1" t="s">
        <v>60</v>
      </c>
    </row>
    <row r="14">
      <c r="B14" s="1" t="s">
        <v>70</v>
      </c>
      <c r="C14" s="1">
        <v>1.0</v>
      </c>
      <c r="D14" s="1" t="s">
        <v>71</v>
      </c>
      <c r="E14" s="1" t="s">
        <v>11</v>
      </c>
      <c r="F14" s="1" t="s">
        <v>20</v>
      </c>
      <c r="G14" s="1" t="s">
        <v>72</v>
      </c>
      <c r="H14" s="1"/>
      <c r="I14" s="1" t="s">
        <v>73</v>
      </c>
      <c r="J14" s="1" t="s">
        <v>16</v>
      </c>
      <c r="K14" s="1">
        <v>1035.0</v>
      </c>
      <c r="L14" s="1">
        <v>1545.0</v>
      </c>
      <c r="M14" s="1" t="s">
        <v>74</v>
      </c>
    </row>
    <row r="15">
      <c r="B15" s="1" t="s">
        <v>70</v>
      </c>
      <c r="C15" s="1">
        <v>2.0</v>
      </c>
      <c r="D15" s="1" t="s">
        <v>75</v>
      </c>
      <c r="E15" s="1" t="s">
        <v>11</v>
      </c>
      <c r="F15" s="1" t="s">
        <v>20</v>
      </c>
      <c r="G15" s="1" t="s">
        <v>76</v>
      </c>
      <c r="H15" s="1"/>
      <c r="I15" s="1" t="s">
        <v>77</v>
      </c>
      <c r="J15" s="1" t="s">
        <v>16</v>
      </c>
      <c r="K15" s="1">
        <v>1035.0</v>
      </c>
      <c r="L15" s="1">
        <v>1545.0</v>
      </c>
      <c r="M15" s="1" t="s">
        <v>78</v>
      </c>
    </row>
    <row r="16">
      <c r="B16" s="1" t="s">
        <v>70</v>
      </c>
      <c r="C16" s="1">
        <v>3.0</v>
      </c>
      <c r="D16" s="1" t="s">
        <v>79</v>
      </c>
      <c r="E16" s="1" t="s">
        <v>11</v>
      </c>
      <c r="F16" s="1" t="s">
        <v>20</v>
      </c>
      <c r="G16" s="1" t="s">
        <v>76</v>
      </c>
      <c r="H16" s="1"/>
      <c r="I16" s="1" t="s">
        <v>80</v>
      </c>
      <c r="J16" s="1" t="s">
        <v>16</v>
      </c>
      <c r="K16" s="1">
        <v>1035.0</v>
      </c>
      <c r="L16" s="1">
        <v>1545.0</v>
      </c>
      <c r="M16" s="1" t="s">
        <v>81</v>
      </c>
    </row>
    <row r="17">
      <c r="E17" s="1" t="s">
        <v>11</v>
      </c>
    </row>
    <row r="18">
      <c r="A18" s="1" t="s">
        <v>82</v>
      </c>
      <c r="B18" s="1" t="s">
        <v>83</v>
      </c>
      <c r="C18" s="1">
        <v>1.0</v>
      </c>
      <c r="D18" s="1" t="s">
        <v>84</v>
      </c>
      <c r="E18" s="1" t="s">
        <v>11</v>
      </c>
      <c r="F18" s="1" t="s">
        <v>85</v>
      </c>
      <c r="G18" s="1" t="s">
        <v>86</v>
      </c>
      <c r="H18" s="1"/>
      <c r="I18" s="1" t="s">
        <v>87</v>
      </c>
      <c r="J18" s="1" t="s">
        <v>16</v>
      </c>
      <c r="K18" s="1"/>
      <c r="L18" s="1"/>
      <c r="M18" s="1" t="s">
        <v>88</v>
      </c>
    </row>
    <row r="19">
      <c r="B19" s="1" t="s">
        <v>83</v>
      </c>
      <c r="C19" s="1">
        <v>2.0</v>
      </c>
      <c r="D19" s="1" t="s">
        <v>89</v>
      </c>
      <c r="E19" s="1" t="s">
        <v>11</v>
      </c>
      <c r="F19" s="1" t="s">
        <v>90</v>
      </c>
      <c r="G19" s="1" t="s">
        <v>86</v>
      </c>
      <c r="H19" s="1"/>
      <c r="I19" s="1" t="s">
        <v>91</v>
      </c>
      <c r="J19" s="1" t="s">
        <v>16</v>
      </c>
      <c r="K19" s="1"/>
      <c r="L19" s="1"/>
      <c r="M19" s="1" t="s">
        <v>92</v>
      </c>
    </row>
    <row r="20">
      <c r="B20" s="1" t="s">
        <v>83</v>
      </c>
      <c r="C20" s="1">
        <v>2.0</v>
      </c>
      <c r="D20" s="1" t="s">
        <v>93</v>
      </c>
      <c r="E20" s="1" t="s">
        <v>11</v>
      </c>
      <c r="F20" s="1" t="s">
        <v>94</v>
      </c>
      <c r="G20" s="1" t="s">
        <v>86</v>
      </c>
      <c r="H20" s="1"/>
      <c r="I20" s="1" t="s">
        <v>95</v>
      </c>
      <c r="J20" s="1" t="s">
        <v>16</v>
      </c>
      <c r="K20" s="1"/>
      <c r="L20" s="1"/>
      <c r="M20" s="1" t="s">
        <v>96</v>
      </c>
      <c r="N20" s="1" t="s">
        <v>97</v>
      </c>
    </row>
    <row r="21">
      <c r="B21" s="1" t="s">
        <v>98</v>
      </c>
      <c r="C21" s="1">
        <v>1.0</v>
      </c>
      <c r="D21" s="1" t="s">
        <v>99</v>
      </c>
      <c r="E21" s="1" t="s">
        <v>11</v>
      </c>
      <c r="F21" s="1" t="s">
        <v>100</v>
      </c>
      <c r="G21" s="1" t="s">
        <v>101</v>
      </c>
      <c r="H21" s="1"/>
      <c r="I21" s="1" t="s">
        <v>102</v>
      </c>
      <c r="J21" s="1" t="s">
        <v>16</v>
      </c>
      <c r="K21" s="1"/>
      <c r="L21" s="1"/>
      <c r="M21" s="1" t="s">
        <v>103</v>
      </c>
    </row>
    <row r="22">
      <c r="B22" s="1" t="s">
        <v>98</v>
      </c>
      <c r="C22" s="1">
        <v>2.0</v>
      </c>
      <c r="D22" s="1" t="s">
        <v>104</v>
      </c>
      <c r="E22" s="1" t="s">
        <v>11</v>
      </c>
      <c r="F22" s="1" t="s">
        <v>105</v>
      </c>
      <c r="G22" s="1" t="s">
        <v>106</v>
      </c>
      <c r="H22" s="1"/>
      <c r="I22" s="1" t="s">
        <v>107</v>
      </c>
      <c r="J22" s="1" t="s">
        <v>16</v>
      </c>
      <c r="K22" s="1"/>
      <c r="L22" s="1"/>
      <c r="M22" s="1" t="s">
        <v>106</v>
      </c>
      <c r="N22" s="1" t="s">
        <v>108</v>
      </c>
    </row>
    <row r="23">
      <c r="B23" s="1" t="s">
        <v>98</v>
      </c>
      <c r="C23" s="1">
        <v>3.0</v>
      </c>
      <c r="D23" s="1" t="s">
        <v>109</v>
      </c>
      <c r="E23" s="1" t="s">
        <v>11</v>
      </c>
      <c r="F23" s="1" t="s">
        <v>85</v>
      </c>
      <c r="G23" s="1" t="s">
        <v>110</v>
      </c>
      <c r="H23" s="1"/>
      <c r="I23" s="1" t="s">
        <v>111</v>
      </c>
      <c r="J23" s="1" t="s">
        <v>16</v>
      </c>
      <c r="K23" s="1"/>
      <c r="L23" s="1"/>
      <c r="M23" s="4" t="s">
        <v>112</v>
      </c>
    </row>
    <row r="24">
      <c r="B24" s="1"/>
      <c r="C24" s="1">
        <v>4.0</v>
      </c>
      <c r="D24" s="1" t="s">
        <v>113</v>
      </c>
      <c r="E24" s="1" t="s">
        <v>11</v>
      </c>
      <c r="F24" s="1" t="s">
        <v>43</v>
      </c>
      <c r="G24" s="1" t="s">
        <v>110</v>
      </c>
      <c r="H24" s="1"/>
      <c r="I24" s="1" t="s">
        <v>114</v>
      </c>
      <c r="J24" s="1" t="s">
        <v>16</v>
      </c>
      <c r="K24" s="1"/>
      <c r="L24" s="1"/>
      <c r="M24" s="4" t="s">
        <v>115</v>
      </c>
    </row>
    <row r="25">
      <c r="B25" s="1" t="s">
        <v>116</v>
      </c>
      <c r="C25" s="1">
        <v>1.0</v>
      </c>
      <c r="D25" s="1" t="s">
        <v>117</v>
      </c>
      <c r="E25" s="1" t="s">
        <v>11</v>
      </c>
      <c r="F25" s="1" t="s">
        <v>20</v>
      </c>
      <c r="G25" s="1" t="s">
        <v>118</v>
      </c>
      <c r="H25" s="1"/>
      <c r="I25" s="1" t="s">
        <v>119</v>
      </c>
      <c r="J25" s="1" t="s">
        <v>16</v>
      </c>
      <c r="K25" s="1"/>
      <c r="L25" s="1"/>
      <c r="M25" s="1" t="s">
        <v>120</v>
      </c>
    </row>
    <row r="26">
      <c r="B26" s="1" t="s">
        <v>116</v>
      </c>
      <c r="C26" s="1">
        <v>2.0</v>
      </c>
      <c r="D26" s="1" t="s">
        <v>121</v>
      </c>
      <c r="E26" s="1" t="s">
        <v>11</v>
      </c>
      <c r="F26" s="1" t="s">
        <v>43</v>
      </c>
      <c r="G26" s="1" t="s">
        <v>122</v>
      </c>
      <c r="H26" s="1"/>
      <c r="I26" s="1" t="s">
        <v>123</v>
      </c>
      <c r="J26" s="1" t="s">
        <v>16</v>
      </c>
      <c r="K26" s="1"/>
      <c r="L26" s="1"/>
      <c r="M26" s="1" t="s">
        <v>124</v>
      </c>
    </row>
    <row r="27">
      <c r="B27" s="1" t="s">
        <v>125</v>
      </c>
      <c r="C27" s="1">
        <v>1.0</v>
      </c>
      <c r="D27" s="1" t="s">
        <v>126</v>
      </c>
      <c r="E27" s="1" t="s">
        <v>11</v>
      </c>
      <c r="F27" s="1" t="s">
        <v>20</v>
      </c>
      <c r="G27" s="1" t="s">
        <v>127</v>
      </c>
      <c r="H27" s="1"/>
      <c r="I27" s="1" t="s">
        <v>128</v>
      </c>
      <c r="J27" s="1" t="s">
        <v>16</v>
      </c>
      <c r="K27" s="1"/>
      <c r="L27" s="1"/>
      <c r="M27" s="1" t="s">
        <v>129</v>
      </c>
    </row>
    <row r="28">
      <c r="B28" s="1" t="s">
        <v>125</v>
      </c>
      <c r="C28" s="1">
        <v>2.0</v>
      </c>
      <c r="D28" s="1" t="s">
        <v>130</v>
      </c>
      <c r="E28" s="1" t="s">
        <v>11</v>
      </c>
      <c r="F28" s="1" t="s">
        <v>20</v>
      </c>
      <c r="G28" s="1" t="s">
        <v>131</v>
      </c>
      <c r="H28" s="1"/>
      <c r="I28" s="1" t="s">
        <v>132</v>
      </c>
      <c r="J28" s="1" t="s">
        <v>16</v>
      </c>
      <c r="K28" s="1"/>
      <c r="L28" s="1"/>
      <c r="M28" s="1" t="s">
        <v>133</v>
      </c>
    </row>
    <row r="29">
      <c r="A29" s="2"/>
      <c r="B29" s="3" t="s">
        <v>134</v>
      </c>
      <c r="C29" s="3">
        <v>1.0</v>
      </c>
      <c r="D29" s="3" t="s">
        <v>135</v>
      </c>
      <c r="E29" s="3" t="s">
        <v>11</v>
      </c>
      <c r="F29" s="3" t="s">
        <v>136</v>
      </c>
      <c r="G29" s="3" t="s">
        <v>137</v>
      </c>
      <c r="H29" s="3"/>
      <c r="I29" s="3" t="s">
        <v>138</v>
      </c>
      <c r="J29" s="3" t="s">
        <v>16</v>
      </c>
      <c r="K29" s="3"/>
      <c r="L29" s="3"/>
      <c r="M29" s="3" t="s">
        <v>139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>
      <c r="A30" s="2"/>
      <c r="B30" s="3" t="s">
        <v>134</v>
      </c>
      <c r="C30" s="3">
        <v>2.0</v>
      </c>
      <c r="D30" s="3" t="s">
        <v>140</v>
      </c>
      <c r="E30" s="3" t="s">
        <v>11</v>
      </c>
      <c r="F30" s="3" t="s">
        <v>141</v>
      </c>
      <c r="G30" s="3" t="s">
        <v>142</v>
      </c>
      <c r="H30" s="3"/>
      <c r="I30" s="3" t="s">
        <v>143</v>
      </c>
      <c r="J30" s="3" t="s">
        <v>16</v>
      </c>
      <c r="K30" s="3"/>
      <c r="L30" s="3"/>
      <c r="M30" s="3" t="s">
        <v>144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>
      <c r="B31" s="1" t="s">
        <v>145</v>
      </c>
      <c r="C31" s="1">
        <v>1.0</v>
      </c>
      <c r="D31" s="1" t="s">
        <v>146</v>
      </c>
      <c r="E31" s="1" t="s">
        <v>11</v>
      </c>
      <c r="F31" s="1" t="s">
        <v>20</v>
      </c>
      <c r="G31" s="1" t="s">
        <v>147</v>
      </c>
      <c r="H31" s="1"/>
      <c r="I31" s="1" t="s">
        <v>148</v>
      </c>
      <c r="J31" s="1" t="s">
        <v>16</v>
      </c>
      <c r="K31" s="1"/>
      <c r="L31" s="1"/>
      <c r="M31" s="1" t="s">
        <v>149</v>
      </c>
    </row>
    <row r="32">
      <c r="B32" s="1" t="s">
        <v>145</v>
      </c>
      <c r="C32" s="1">
        <v>2.0</v>
      </c>
      <c r="D32" s="1" t="s">
        <v>150</v>
      </c>
      <c r="E32" s="1" t="s">
        <v>11</v>
      </c>
      <c r="F32" s="1" t="s">
        <v>20</v>
      </c>
      <c r="G32" s="1" t="s">
        <v>147</v>
      </c>
      <c r="H32" s="1"/>
      <c r="I32" s="1" t="s">
        <v>151</v>
      </c>
      <c r="J32" s="1" t="s">
        <v>16</v>
      </c>
      <c r="K32" s="1"/>
      <c r="L32" s="1"/>
      <c r="M32" s="1" t="s">
        <v>152</v>
      </c>
    </row>
    <row r="33">
      <c r="E33" s="1" t="s">
        <v>11</v>
      </c>
    </row>
    <row r="34">
      <c r="A34" s="1" t="s">
        <v>153</v>
      </c>
      <c r="B34" s="1" t="s">
        <v>154</v>
      </c>
      <c r="C34" s="1">
        <v>1.0</v>
      </c>
      <c r="D34" s="1" t="s">
        <v>155</v>
      </c>
      <c r="E34" s="1" t="s">
        <v>11</v>
      </c>
      <c r="F34" s="1" t="s">
        <v>85</v>
      </c>
      <c r="G34" s="1" t="s">
        <v>156</v>
      </c>
      <c r="H34" s="1" t="str">
        <f>IFERROR(__xludf.DUMMYFUNCTION("CONCATENATE(LEFT(G34,FIND(""_"",G34) + 1),REGEXEXTRACT(G34,""[\d]+""),""D"")"),"Expansion_V3D")</f>
        <v>Expansion_V3D</v>
      </c>
      <c r="I34" s="1" t="s">
        <v>157</v>
      </c>
      <c r="J34" s="1" t="s">
        <v>16</v>
      </c>
      <c r="K34" s="1">
        <v>930.0</v>
      </c>
      <c r="L34" s="1">
        <v>1600.0</v>
      </c>
      <c r="M34" s="1" t="s">
        <v>156</v>
      </c>
    </row>
    <row r="35">
      <c r="B35" s="1"/>
      <c r="C35" s="1">
        <v>2.0</v>
      </c>
      <c r="D35" s="1" t="s">
        <v>158</v>
      </c>
      <c r="E35" s="1" t="s">
        <v>159</v>
      </c>
      <c r="F35" s="1" t="s">
        <v>160</v>
      </c>
      <c r="G35" s="1" t="s">
        <v>156</v>
      </c>
      <c r="H35" s="1" t="str">
        <f>IFERROR(__xludf.DUMMYFUNCTION("CONCATENATE(LEFT(G35,FIND(""_"",G35) + 1),REGEXEXTRACT(G35,""[\d]+""),""D"")"),"Expansion_V3D")</f>
        <v>Expansion_V3D</v>
      </c>
      <c r="I35" s="1" t="s">
        <v>161</v>
      </c>
      <c r="J35" s="1" t="s">
        <v>16</v>
      </c>
      <c r="K35" s="1">
        <v>930.0</v>
      </c>
      <c r="L35" s="1">
        <v>1600.0</v>
      </c>
      <c r="M35" s="1" t="s">
        <v>162</v>
      </c>
    </row>
    <row r="36">
      <c r="B36" s="1" t="s">
        <v>163</v>
      </c>
      <c r="D36" s="1" t="s">
        <v>164</v>
      </c>
      <c r="E36" s="1" t="s">
        <v>11</v>
      </c>
      <c r="F36" s="1" t="s">
        <v>55</v>
      </c>
      <c r="G36" s="1" t="s">
        <v>165</v>
      </c>
      <c r="H36" s="1" t="str">
        <f>IFERROR(__xludf.DUMMYFUNCTION("CONCATENATE(LEFT(G36,FIND(""_"",G36) + 1),REGEXEXTRACT(G36,""[\d]+""),""D"")"),"Momentum_V3D")</f>
        <v>Momentum_V3D</v>
      </c>
      <c r="I36" s="1" t="s">
        <v>166</v>
      </c>
      <c r="J36" s="1" t="s">
        <v>16</v>
      </c>
      <c r="K36" s="1">
        <v>930.0</v>
      </c>
      <c r="L36" s="1">
        <v>1600.0</v>
      </c>
      <c r="M36" s="1" t="s">
        <v>165</v>
      </c>
    </row>
    <row r="37">
      <c r="B37" s="1" t="s">
        <v>167</v>
      </c>
      <c r="C37" s="1">
        <v>1.0</v>
      </c>
      <c r="D37" s="1" t="s">
        <v>168</v>
      </c>
      <c r="E37" s="1" t="s">
        <v>11</v>
      </c>
      <c r="F37" s="1" t="s">
        <v>55</v>
      </c>
      <c r="G37" s="1" t="s">
        <v>169</v>
      </c>
      <c r="H37" s="1" t="str">
        <f>IFERROR(__xludf.DUMMYFUNCTION("CONCATENATE(LEFT(G37,FIND(""_"",G37) + 1),REGEXEXTRACT(G37,""[\d]+""),""D"")"),"Fader_V3D")</f>
        <v>Fader_V3D</v>
      </c>
      <c r="I37" s="1" t="s">
        <v>170</v>
      </c>
      <c r="J37" s="1" t="s">
        <v>16</v>
      </c>
      <c r="K37" s="1">
        <v>930.0</v>
      </c>
      <c r="L37" s="1">
        <v>1600.0</v>
      </c>
      <c r="M37" s="1" t="s">
        <v>171</v>
      </c>
    </row>
    <row r="38">
      <c r="B38" s="1"/>
      <c r="C38" s="1">
        <v>2.0</v>
      </c>
      <c r="D38" s="1" t="s">
        <v>172</v>
      </c>
      <c r="E38" s="1" t="s">
        <v>159</v>
      </c>
      <c r="F38" s="1" t="s">
        <v>173</v>
      </c>
      <c r="G38" s="1" t="s">
        <v>169</v>
      </c>
      <c r="H38" s="1" t="str">
        <f>IFERROR(__xludf.DUMMYFUNCTION("CONCATENATE(LEFT(G38,FIND(""_"",G38) + 1),REGEXEXTRACT(G38,""[\d]+""),""D"")"),"Fader_V3D")</f>
        <v>Fader_V3D</v>
      </c>
      <c r="I38" s="1" t="s">
        <v>174</v>
      </c>
      <c r="J38" s="1" t="s">
        <v>16</v>
      </c>
      <c r="K38" s="1">
        <v>930.0</v>
      </c>
      <c r="L38" s="1">
        <v>1600.0</v>
      </c>
      <c r="M38" s="1" t="s">
        <v>175</v>
      </c>
    </row>
    <row r="39">
      <c r="B39" s="1" t="s">
        <v>176</v>
      </c>
      <c r="C39" s="1">
        <v>1.0</v>
      </c>
      <c r="D39" s="1" t="s">
        <v>177</v>
      </c>
      <c r="E39" s="1" t="s">
        <v>11</v>
      </c>
      <c r="F39" s="1" t="s">
        <v>43</v>
      </c>
      <c r="G39" s="1" t="s">
        <v>178</v>
      </c>
      <c r="H39" s="1" t="str">
        <f>IFERROR(__xludf.DUMMYFUNCTION("CONCATENATE(LEFT(G39,FIND(""_"",G39) + 1),REGEXEXTRACT(G39,""[\d]+""),""D"")"),"Sniper_V3D")</f>
        <v>Sniper_V3D</v>
      </c>
      <c r="I39" s="1" t="s">
        <v>179</v>
      </c>
      <c r="J39" s="1" t="s">
        <v>16</v>
      </c>
      <c r="K39" s="1">
        <v>930.0</v>
      </c>
      <c r="L39" s="1">
        <v>1600.0</v>
      </c>
      <c r="M39" s="1" t="s">
        <v>180</v>
      </c>
    </row>
    <row r="40">
      <c r="B40" s="1"/>
      <c r="C40" s="1">
        <v>2.0</v>
      </c>
      <c r="D40" s="1" t="s">
        <v>181</v>
      </c>
      <c r="E40" s="1" t="s">
        <v>159</v>
      </c>
      <c r="F40" s="1" t="s">
        <v>43</v>
      </c>
      <c r="G40" s="1" t="s">
        <v>178</v>
      </c>
      <c r="H40" s="1" t="str">
        <f>IFERROR(__xludf.DUMMYFUNCTION("CONCATENATE(LEFT(G40,FIND(""_"",G40) + 1),REGEXEXTRACT(G40,""[\d]+""),""D"")"),"Sniper_V3D")</f>
        <v>Sniper_V3D</v>
      </c>
      <c r="I40" s="1" t="s">
        <v>182</v>
      </c>
      <c r="J40" s="1" t="s">
        <v>16</v>
      </c>
      <c r="K40" s="1">
        <v>930.0</v>
      </c>
      <c r="L40" s="1">
        <v>1600.0</v>
      </c>
      <c r="M40" s="1" t="s">
        <v>183</v>
      </c>
    </row>
    <row r="41">
      <c r="B41" s="1" t="s">
        <v>184</v>
      </c>
      <c r="D41" s="1" t="s">
        <v>185</v>
      </c>
      <c r="E41" s="1" t="s">
        <v>11</v>
      </c>
      <c r="F41" s="1" t="s">
        <v>43</v>
      </c>
      <c r="G41" s="1" t="s">
        <v>186</v>
      </c>
      <c r="H41" s="1" t="str">
        <f>IFERROR(__xludf.DUMMYFUNCTION("CONCATENATE(LEFT(G41,FIND(""_"",G41) + 1),REGEXEXTRACT(G41,""[\d]+""),""D"")"),"ADX_D3D")</f>
        <v>ADX_D3D</v>
      </c>
      <c r="I41" s="1" t="s">
        <v>187</v>
      </c>
      <c r="J41" s="1" t="s">
        <v>58</v>
      </c>
      <c r="K41" s="1">
        <v>930.0</v>
      </c>
      <c r="L41" s="1">
        <v>1600.0</v>
      </c>
      <c r="M41" s="1" t="s">
        <v>186</v>
      </c>
    </row>
    <row r="42">
      <c r="B42" s="1" t="s">
        <v>188</v>
      </c>
      <c r="D42" s="1" t="s">
        <v>189</v>
      </c>
      <c r="E42" s="1" t="s">
        <v>11</v>
      </c>
      <c r="F42" s="1" t="s">
        <v>90</v>
      </c>
      <c r="G42" s="1" t="s">
        <v>190</v>
      </c>
      <c r="H42" s="1" t="str">
        <f>IFERROR(__xludf.DUMMYFUNCTION("CONCATENATE(LEFT(G42,FIND(""_"",G42) + 1),REGEXEXTRACT(G42,""[\d]+""),""D"")"),"Expansion_V3D")</f>
        <v>Expansion_V3D</v>
      </c>
      <c r="I42" s="1" t="s">
        <v>191</v>
      </c>
      <c r="J42" s="1" t="s">
        <v>16</v>
      </c>
      <c r="K42" s="1">
        <v>930.0</v>
      </c>
      <c r="L42" s="1">
        <v>1600.0</v>
      </c>
      <c r="M42" s="1" t="s">
        <v>190</v>
      </c>
    </row>
    <row r="43">
      <c r="B43" s="1" t="s">
        <v>192</v>
      </c>
      <c r="D43" s="1" t="s">
        <v>193</v>
      </c>
      <c r="E43" s="1" t="s">
        <v>11</v>
      </c>
      <c r="F43" s="1" t="s">
        <v>43</v>
      </c>
      <c r="G43" s="1" t="s">
        <v>194</v>
      </c>
      <c r="H43" s="1" t="str">
        <f>IFERROR(__xludf.DUMMYFUNCTION("CONCATENATE(LEFT(G43,FIND(""_"",G43) + 1),REGEXEXTRACT(G43,""[\d]+""),""D"")"),"Momentum_V3D")</f>
        <v>Momentum_V3D</v>
      </c>
      <c r="I43" s="1" t="s">
        <v>195</v>
      </c>
      <c r="J43" s="1" t="s">
        <v>16</v>
      </c>
      <c r="K43" s="1">
        <v>930.0</v>
      </c>
      <c r="L43" s="1">
        <v>1600.0</v>
      </c>
      <c r="M43" s="1" t="s">
        <v>194</v>
      </c>
    </row>
    <row r="44">
      <c r="B44" s="1" t="s">
        <v>196</v>
      </c>
      <c r="D44" s="1" t="s">
        <v>197</v>
      </c>
      <c r="E44" s="1" t="s">
        <v>11</v>
      </c>
      <c r="F44" s="1" t="s">
        <v>20</v>
      </c>
      <c r="G44" s="1" t="s">
        <v>198</v>
      </c>
      <c r="H44" s="1" t="str">
        <f>IFERROR(__xludf.DUMMYFUNCTION("CONCATENATE(LEFT(G44,FIND(""_"",G44) + 1),REGEXEXTRACT(G44,""[\d]+""),""D"")"),"Fader_V3D")</f>
        <v>Fader_V3D</v>
      </c>
      <c r="I44" s="1" t="s">
        <v>199</v>
      </c>
      <c r="J44" s="1" t="s">
        <v>16</v>
      </c>
      <c r="K44" s="1">
        <v>930.0</v>
      </c>
      <c r="L44" s="1">
        <v>1600.0</v>
      </c>
      <c r="M44" s="1" t="s">
        <v>198</v>
      </c>
    </row>
    <row r="45">
      <c r="B45" s="1" t="s">
        <v>200</v>
      </c>
      <c r="D45" s="1" t="s">
        <v>201</v>
      </c>
      <c r="E45" s="1" t="s">
        <v>11</v>
      </c>
      <c r="F45" s="1" t="s">
        <v>43</v>
      </c>
      <c r="G45" s="1" t="s">
        <v>202</v>
      </c>
      <c r="H45" s="1" t="str">
        <f>IFERROR(__xludf.DUMMYFUNCTION("CONCATENATE(LEFT(G45,FIND(""_"",G45) + 1),REGEXEXTRACT(G45,""[\d]+""),""D"")"),"Sniper_V3D")</f>
        <v>Sniper_V3D</v>
      </c>
      <c r="I45" s="1" t="s">
        <v>203</v>
      </c>
      <c r="J45" s="1" t="s">
        <v>16</v>
      </c>
      <c r="K45" s="1">
        <v>930.0</v>
      </c>
      <c r="L45" s="1">
        <v>1600.0</v>
      </c>
      <c r="M45" s="1" t="s">
        <v>202</v>
      </c>
    </row>
    <row r="46">
      <c r="B46" s="1" t="s">
        <v>204</v>
      </c>
      <c r="D46" s="1" t="s">
        <v>205</v>
      </c>
      <c r="E46" s="1" t="s">
        <v>11</v>
      </c>
      <c r="F46" s="1" t="s">
        <v>206</v>
      </c>
      <c r="G46" s="1" t="s">
        <v>186</v>
      </c>
      <c r="H46" s="1" t="str">
        <f>IFERROR(__xludf.DUMMYFUNCTION("CONCATENATE(LEFT(G46,FIND(""_"",G46) + 1),REGEXEXTRACT(G46,""[\d]+""),""D"")"),"ADX_D3D")</f>
        <v>ADX_D3D</v>
      </c>
      <c r="I46" s="1" t="s">
        <v>207</v>
      </c>
      <c r="J46" s="1" t="s">
        <v>58</v>
      </c>
      <c r="K46" s="1">
        <v>930.0</v>
      </c>
      <c r="L46" s="1">
        <v>1600.0</v>
      </c>
      <c r="M46" s="1" t="s">
        <v>208</v>
      </c>
    </row>
    <row r="47">
      <c r="B47" s="1" t="s">
        <v>209</v>
      </c>
      <c r="D47" s="1" t="s">
        <v>210</v>
      </c>
      <c r="E47" s="1" t="s">
        <v>11</v>
      </c>
      <c r="F47" s="1" t="s">
        <v>43</v>
      </c>
      <c r="G47" s="1" t="s">
        <v>211</v>
      </c>
      <c r="H47" s="1" t="str">
        <f>IFERROR(__xludf.DUMMYFUNCTION("CONCATENATE(LEFT(G47,FIND(""_"",G47) + 1),REGEXEXTRACT(G47,""[\d]+""),""D"")"),"ADX_D3D")</f>
        <v>ADX_D3D</v>
      </c>
      <c r="I47" s="1" t="s">
        <v>212</v>
      </c>
      <c r="J47" s="1" t="s">
        <v>58</v>
      </c>
      <c r="K47" s="1">
        <v>930.0</v>
      </c>
      <c r="L47" s="1">
        <v>1600.0</v>
      </c>
      <c r="M47" s="1" t="s">
        <v>211</v>
      </c>
    </row>
  </sheetData>
  <drawing r:id="rId1"/>
</worksheet>
</file>